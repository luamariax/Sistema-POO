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uarios" sheetId="1" state="visible" r:id="rId3"/>
    <sheet name="Eventos" sheetId="2" state="visible" r:id="rId4"/>
    <sheet name="Semestres" sheetId="3" state="visible" r:id="rId5"/>
    <sheet name="Materias" sheetId="4" state="visible" r:id="rId6"/>
    <sheet name="Provas" sheetId="5" state="visible" r:id="rId7"/>
    <sheet name="Trabalh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<sst xmlns="http://schemas.openxmlformats.org/spreadsheetml/2006/main" count="283" uniqueCount="151">
  <si>
    <t xml:space="preserve">id_user</t>
  </si>
  <si>
    <t xml:space="preserve">email</t>
  </si>
  <si>
    <t xml:space="preserve">senha</t>
  </si>
  <si>
    <t xml:space="preserve">nome</t>
  </si>
  <si>
    <t xml:space="preserve">U001</t>
  </si>
  <si>
    <t xml:space="preserve">ana.souza@ufmg.br</t>
  </si>
  <si>
    <t xml:space="preserve">Abc@1234</t>
  </si>
  <si>
    <t xml:space="preserve">Ana Souza</t>
  </si>
  <si>
    <t xml:space="preserve">U002</t>
  </si>
  <si>
    <t xml:space="preserve">carlos.lima@ufmg.br</t>
  </si>
  <si>
    <t xml:space="preserve">Xyz#5678</t>
  </si>
  <si>
    <t xml:space="preserve">Carlos Lima</t>
  </si>
  <si>
    <t xml:space="preserve">id_eventos</t>
  </si>
  <si>
    <t xml:space="preserve">titulo</t>
  </si>
  <si>
    <t xml:space="preserve">descricao</t>
  </si>
  <si>
    <t xml:space="preserve">data_inicio</t>
  </si>
  <si>
    <t xml:space="preserve">data_final</t>
  </si>
  <si>
    <t xml:space="preserve">horario</t>
  </si>
  <si>
    <t xml:space="preserve">local</t>
  </si>
  <si>
    <t xml:space="preserve">organizador</t>
  </si>
  <si>
    <t xml:space="preserve">E001</t>
  </si>
  <si>
    <t xml:space="preserve">Semana de Computação</t>
  </si>
  <si>
    <t xml:space="preserve">Palestras e workshops de TI</t>
  </si>
  <si>
    <t xml:space="preserve">09:00</t>
  </si>
  <si>
    <t xml:space="preserve">Auditório ICEx - UFMG</t>
  </si>
  <si>
    <t xml:space="preserve">UFMG / PET Computação</t>
  </si>
  <si>
    <t xml:space="preserve">E002</t>
  </si>
  <si>
    <t xml:space="preserve">Hackathon UFMG 2026</t>
  </si>
  <si>
    <t xml:space="preserve">Maratona de programação 48h</t>
  </si>
  <si>
    <t xml:space="preserve">08:00</t>
  </si>
  <si>
    <t xml:space="preserve">Centro de Inovação UFMG</t>
  </si>
  <si>
    <t xml:space="preserve">IEEE UFMG</t>
  </si>
  <si>
    <t xml:space="preserve">Congresso de Engenharia</t>
  </si>
  <si>
    <t xml:space="preserve">Apresentação de trabalhos científicos</t>
  </si>
  <si>
    <t xml:space="preserve">08:30</t>
  </si>
  <si>
    <t xml:space="preserve">Escola de Engenharia - UFMG</t>
  </si>
  <si>
    <t xml:space="preserve">DEE / UFMG</t>
  </si>
  <si>
    <t xml:space="preserve">Workshop de IA</t>
  </si>
  <si>
    <t xml:space="preserve">Introdução prática a Machine Learning</t>
  </si>
  <si>
    <t xml:space="preserve">13:00</t>
  </si>
  <si>
    <t xml:space="preserve">Laboratório de Dados - UFMG</t>
  </si>
  <si>
    <t xml:space="preserve">Lab IA UFMG</t>
  </si>
  <si>
    <t xml:space="preserve">id_semestre</t>
  </si>
  <si>
    <t xml:space="preserve">S001</t>
  </si>
  <si>
    <t xml:space="preserve">2026-1</t>
  </si>
  <si>
    <t xml:space="preserve">Ciência da Computação - UFMG</t>
  </si>
  <si>
    <t xml:space="preserve">S002</t>
  </si>
  <si>
    <t xml:space="preserve">2026-2</t>
  </si>
  <si>
    <t xml:space="preserve">Engenharia Elétrica - UFMG</t>
  </si>
  <si>
    <t xml:space="preserve">id_materia</t>
  </si>
  <si>
    <t xml:space="preserve">professor</t>
  </si>
  <si>
    <t xml:space="preserve">sala</t>
  </si>
  <si>
    <t xml:space="preserve">M001</t>
  </si>
  <si>
    <t xml:space="preserve">Algoritmos e Estruturas de Dados – DCC001</t>
  </si>
  <si>
    <t xml:space="preserve">Análise de algoritmos, listas, árvores, grafos</t>
  </si>
  <si>
    <t xml:space="preserve">Prof. Roberto Alves</t>
  </si>
  <si>
    <t xml:space="preserve">ICEx - Sala 201</t>
  </si>
  <si>
    <t xml:space="preserve">terça-14h-16h</t>
  </si>
  <si>
    <t xml:space="preserve">M002</t>
  </si>
  <si>
    <t xml:space="preserve">Programação Orientada a Objetos – DCC002</t>
  </si>
  <si>
    <t xml:space="preserve">Paradigma OO, herança, polimorfismo, design patterns</t>
  </si>
  <si>
    <t xml:space="preserve">Profa. Fernanda Costa</t>
  </si>
  <si>
    <t xml:space="preserve">ICEx - Sala 305</t>
  </si>
  <si>
    <t xml:space="preserve">quinta-08h-10h</t>
  </si>
  <si>
    <t xml:space="preserve">M003</t>
  </si>
  <si>
    <t xml:space="preserve">Banco de Dados – DCC003</t>
  </si>
  <si>
    <t xml:space="preserve">Modelo relacional, SQL, normalização, transações</t>
  </si>
  <si>
    <t xml:space="preserve">Prof. Marcos Pinto</t>
  </si>
  <si>
    <t xml:space="preserve">ICEx - Sala 112</t>
  </si>
  <si>
    <t xml:space="preserve">segunda-10h-12h</t>
  </si>
  <si>
    <t xml:space="preserve">M004</t>
  </si>
  <si>
    <t xml:space="preserve">Redes de Computadores – DCC004</t>
  </si>
  <si>
    <t xml:space="preserve">TCP/IP, protocolos, segurança de redes</t>
  </si>
  <si>
    <t xml:space="preserve">Profa. Juliana Melo</t>
  </si>
  <si>
    <t xml:space="preserve">ICEx - Sala 204</t>
  </si>
  <si>
    <t xml:space="preserve">quarta-16h-18h</t>
  </si>
  <si>
    <t xml:space="preserve">Circuitos Elétricos I – DEE001</t>
  </si>
  <si>
    <t xml:space="preserve">Leis de Kirchhoff, análise de circuitos CC e CA</t>
  </si>
  <si>
    <t xml:space="preserve">Prof. André Borges</t>
  </si>
  <si>
    <t xml:space="preserve">EE - Sala 101</t>
  </si>
  <si>
    <t xml:space="preserve">segunda-08h-10h</t>
  </si>
  <si>
    <t xml:space="preserve">Cálculo Numérico – DEE002</t>
  </si>
  <si>
    <t xml:space="preserve">Métodos numéricos para engenharia, erros e interpolação</t>
  </si>
  <si>
    <t xml:space="preserve">Profa. Cláudia Neves</t>
  </si>
  <si>
    <t xml:space="preserve">Online</t>
  </si>
  <si>
    <t xml:space="preserve">terça-10h-12h</t>
  </si>
  <si>
    <t xml:space="preserve">Sinais e Sistemas – DEE003</t>
  </si>
  <si>
    <t xml:space="preserve">Transformadas de Fourier e Laplace, sistemas LTI</t>
  </si>
  <si>
    <t xml:space="preserve">Prof. Henrique Dias</t>
  </si>
  <si>
    <t xml:space="preserve">EE - Sala 203</t>
  </si>
  <si>
    <t xml:space="preserve">quinta-14h-16h</t>
  </si>
  <si>
    <t xml:space="preserve">Eletromagnetismo – DEE004</t>
  </si>
  <si>
    <t xml:space="preserve">Equações de Maxwell, ondas eletromagnéticas</t>
  </si>
  <si>
    <t xml:space="preserve">Prof. Paulo Saraiva</t>
  </si>
  <si>
    <t xml:space="preserve">EE - Sala 110</t>
  </si>
  <si>
    <t xml:space="preserve">sexta-08h-10h</t>
  </si>
  <si>
    <t xml:space="preserve">id_prova</t>
  </si>
  <si>
    <t xml:space="preserve">valor_nota</t>
  </si>
  <si>
    <t xml:space="preserve">nota_obtida</t>
  </si>
  <si>
    <t xml:space="preserve">dia</t>
  </si>
  <si>
    <t xml:space="preserve">conteudo</t>
  </si>
  <si>
    <t xml:space="preserve">duracao</t>
  </si>
  <si>
    <t xml:space="preserve">P001</t>
  </si>
  <si>
    <t xml:space="preserve">Prova 1 - AED</t>
  </si>
  <si>
    <t xml:space="preserve">Complexidade, listas encadeadas e árvores binárias</t>
  </si>
  <si>
    <t xml:space="preserve">2h</t>
  </si>
  <si>
    <t xml:space="preserve">Prova 1 - POO</t>
  </si>
  <si>
    <t xml:space="preserve">Herança, interfaces e polimorfismo</t>
  </si>
  <si>
    <t xml:space="preserve">Prova 1 - BD</t>
  </si>
  <si>
    <t xml:space="preserve">Modelo ER, álgebra relacional e SQL básico</t>
  </si>
  <si>
    <t xml:space="preserve">2h30</t>
  </si>
  <si>
    <t xml:space="preserve">Prova 1 - Redes</t>
  </si>
  <si>
    <t xml:space="preserve">Modelo OSI, camada física e de enlace</t>
  </si>
  <si>
    <t xml:space="preserve">Prova 1 - Circuitos</t>
  </si>
  <si>
    <t xml:space="preserve">Leis de Kirchhoff e análise nodal</t>
  </si>
  <si>
    <t xml:space="preserve">3h</t>
  </si>
  <si>
    <t xml:space="preserve">Prova 1 - Cálculo N.</t>
  </si>
  <si>
    <t xml:space="preserve">Erros numéricos e interpolação polinomial</t>
  </si>
  <si>
    <t xml:space="preserve">Prova 1 - Sinais</t>
  </si>
  <si>
    <t xml:space="preserve">Série de Fourier e transformada contínua</t>
  </si>
  <si>
    <t xml:space="preserve">Prova 1 - Eletromag</t>
  </si>
  <si>
    <t xml:space="preserve">Lei de Gauss e campo elétrico</t>
  </si>
  <si>
    <t xml:space="preserve">id_trabalho</t>
  </si>
  <si>
    <t xml:space="preserve">data_entrega</t>
  </si>
  <si>
    <t xml:space="preserve">descricao_tarefa</t>
  </si>
  <si>
    <t xml:space="preserve">grupo</t>
  </si>
  <si>
    <t xml:space="preserve">entregue</t>
  </si>
  <si>
    <t xml:space="preserve">T001</t>
  </si>
  <si>
    <t xml:space="preserve">Implementação de Grafos</t>
  </si>
  <si>
    <t xml:space="preserve">Implementar BFS e DFS com análise de complexidade</t>
  </si>
  <si>
    <t xml:space="preserve">Pedro Alves; Maria Lima</t>
  </si>
  <si>
    <t xml:space="preserve">Sistema de Biblioteca OO</t>
  </si>
  <si>
    <t xml:space="preserve">Modelar sistema de empréstimo de livros com UML e Java</t>
  </si>
  <si>
    <t xml:space="preserve">Lucas Mendes</t>
  </si>
  <si>
    <t xml:space="preserve">Projeto de BD Relacional</t>
  </si>
  <si>
    <t xml:space="preserve">Projetar e implementar BD para um sistema de vendas em PostgreSQL</t>
  </si>
  <si>
    <t xml:space="preserve">Sofia Ramos; João Costa</t>
  </si>
  <si>
    <t xml:space="preserve">Simulação de Protocolo TCP</t>
  </si>
  <si>
    <t xml:space="preserve">Simular handshake TCP e controle de congestionamento em Python</t>
  </si>
  <si>
    <t xml:space="preserve">Individual</t>
  </si>
  <si>
    <t xml:space="preserve">Análise de Circuito RC/RL</t>
  </si>
  <si>
    <t xml:space="preserve">Montar e analisar circuito RC e RL no LTSpice</t>
  </si>
  <si>
    <t xml:space="preserve">Bruna Oliveira; Thiago Santos</t>
  </si>
  <si>
    <t xml:space="preserve">Métodos Numéricos em Python</t>
  </si>
  <si>
    <t xml:space="preserve">Implementar Newton-Raphson e Runge-Kutta em Python</t>
  </si>
  <si>
    <t xml:space="preserve">Análise de Sinais de Áudio</t>
  </si>
  <si>
    <t xml:space="preserve">Aplicar FFT em sinais de áudio reais e interpretar espectro</t>
  </si>
  <si>
    <t xml:space="preserve">Larissa Nunes; Diego Faria</t>
  </si>
  <si>
    <t xml:space="preserve">Simulação de Antena Dipolo</t>
  </si>
  <si>
    <t xml:space="preserve">Simular campo eletromagnético de antena dipolo no MATLAB</t>
  </si>
  <si>
    <t xml:space="preserve">Rafael Costa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</si>
</sst>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DCE6F1"/>
        <bgColor rgb="FFCCFFFF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3"/>
    <col collapsed="false" customWidth="true" hidden="false" outlineLevel="0" max="3" min="3" style="0" width="12"/>
    <col collapsed="false" customWidth="true" hidden="false" outlineLevel="0" max="4" min="4" style="0" width="15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s">
        <v>4</v>
      </c>
      <c r="B2" s="2" t="s">
        <v>5</v>
      </c>
      <c r="C2" s="2" t="s">
        <v>6</v>
      </c>
      <c r="D2" s="2" t="s">
        <v>7</v>
      </c>
    </row>
    <row r="3" customFormat="false" ht="15" hidden="false" customHeight="false" outlineLevel="0" collapsed="false">
      <c r="A3" s="3" t="s">
        <v>8</v>
      </c>
      <c r="B3" s="3" t="s">
        <v>9</v>
      </c>
      <c r="C3" s="3" t="s">
        <v>10</v>
      </c>
      <c r="D3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27"/>
    <col collapsed="false" customWidth="true" hidden="false" outlineLevel="0" max="4" min="4" style="0" width="40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31"/>
    <col collapsed="false" customWidth="true" hidden="false" outlineLevel="0" max="9" min="9" style="0" width="25"/>
  </cols>
  <sheetData>
    <row r="1" customFormat="false" ht="30" hidden="false" customHeight="true" outlineLevel="0" collapsed="false">
      <c r="A1" s="1" t="s">
        <v>0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</row>
    <row r="2" customFormat="false" ht="15" hidden="false" customHeight="false" outlineLevel="0" collapsed="false">
      <c r="A2" s="2" t="s">
        <v>4</v>
      </c>
      <c r="B2" s="2" t="s">
        <v>20</v>
      </c>
      <c r="C2" s="2" t="s">
        <v>21</v>
      </c>
      <c r="D2" s="2" t="s">
        <v>22</v>
      </c>
      <c r="E2" s="4" t="n">
        <v>46266</v>
      </c>
      <c r="F2" s="4" t="n">
        <v>46270</v>
      </c>
      <c r="G2" s="2" t="s">
        <v>23</v>
      </c>
      <c r="H2" s="2" t="s">
        <v>24</v>
      </c>
      <c r="I2" s="2" t="s">
        <v>25</v>
      </c>
    </row>
    <row r="3" customFormat="false" ht="15" hidden="false" customHeight="false" outlineLevel="0" collapsed="false">
      <c r="A3" s="3" t="s">
        <v>4</v>
      </c>
      <c r="B3" s="3" t="s">
        <v>26</v>
      </c>
      <c r="C3" s="3" t="s">
        <v>27</v>
      </c>
      <c r="D3" s="3" t="s">
        <v>28</v>
      </c>
      <c r="E3" s="5" t="n">
        <v>46305</v>
      </c>
      <c r="F3" s="5" t="n">
        <v>46307</v>
      </c>
      <c r="G3" s="3" t="s">
        <v>29</v>
      </c>
      <c r="H3" s="3" t="s">
        <v>30</v>
      </c>
      <c r="I3" s="3" t="s">
        <v>31</v>
      </c>
    </row>
    <row r="4" customFormat="false" ht="15" hidden="false" customHeight="false" outlineLevel="0" collapsed="false">
      <c r="A4" s="2" t="s">
        <v>8</v>
      </c>
      <c r="B4" s="2" t="s">
        <v>20</v>
      </c>
      <c r="C4" s="2" t="s">
        <v>32</v>
      </c>
      <c r="D4" s="2" t="s">
        <v>33</v>
      </c>
      <c r="E4" s="4" t="n">
        <v>46249</v>
      </c>
      <c r="F4" s="4" t="n">
        <v>46251</v>
      </c>
      <c r="G4" s="2" t="s">
        <v>34</v>
      </c>
      <c r="H4" s="2" t="s">
        <v>35</v>
      </c>
      <c r="I4" s="2" t="s">
        <v>36</v>
      </c>
    </row>
    <row r="5" customFormat="false" ht="15" hidden="false" customHeight="false" outlineLevel="0" collapsed="false">
      <c r="A5" s="3" t="s">
        <v>8</v>
      </c>
      <c r="B5" s="3" t="s">
        <v>26</v>
      </c>
      <c r="C5" s="3" t="s">
        <v>37</v>
      </c>
      <c r="D5" s="3" t="s">
        <v>38</v>
      </c>
      <c r="E5" s="5" t="n">
        <v>46329</v>
      </c>
      <c r="F5" s="5" t="n">
        <v>46329</v>
      </c>
      <c r="G5" s="3" t="s">
        <v>39</v>
      </c>
      <c r="H5" s="3" t="s">
        <v>40</v>
      </c>
      <c r="I5" s="3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.72"/>
    <col collapsed="false" customWidth="true" hidden="false" outlineLevel="0" max="3" min="3" style="0" width="10"/>
    <col collapsed="false" customWidth="true" hidden="false" outlineLevel="0" max="4" min="4" style="0" width="32"/>
  </cols>
  <sheetData>
    <row r="1" customFormat="false" ht="30" hidden="false" customHeight="true" outlineLevel="0" collapsed="false">
      <c r="A1" s="1" t="s">
        <v>0</v>
      </c>
      <c r="B1" s="1" t="s">
        <v>42</v>
      </c>
      <c r="C1" s="1" t="s">
        <v>13</v>
      </c>
      <c r="D1" s="1" t="s">
        <v>14</v>
      </c>
    </row>
    <row r="2" customFormat="false" ht="15" hidden="false" customHeight="false" outlineLevel="0" collapsed="false">
      <c r="A2" s="2" t="s">
        <v>4</v>
      </c>
      <c r="B2" s="2" t="s">
        <v>43</v>
      </c>
      <c r="C2" s="2" t="s">
        <v>44</v>
      </c>
      <c r="D2" s="2" t="s">
        <v>45</v>
      </c>
    </row>
    <row r="3" customFormat="false" ht="15" hidden="false" customHeight="false" outlineLevel="0" collapsed="false">
      <c r="A3" s="3" t="s">
        <v>4</v>
      </c>
      <c r="B3" s="3" t="s">
        <v>46</v>
      </c>
      <c r="C3" s="3" t="s">
        <v>47</v>
      </c>
      <c r="D3" s="3" t="s">
        <v>45</v>
      </c>
    </row>
    <row r="4" customFormat="false" ht="15" hidden="false" customHeight="false" outlineLevel="0" collapsed="false">
      <c r="A4" s="2" t="s">
        <v>8</v>
      </c>
      <c r="B4" s="2" t="s">
        <v>43</v>
      </c>
      <c r="C4" s="2" t="s">
        <v>44</v>
      </c>
      <c r="D4" s="2" t="s">
        <v>48</v>
      </c>
    </row>
    <row r="5" customFormat="false" ht="15" hidden="false" customHeight="false" outlineLevel="0" collapsed="false">
      <c r="A5" s="3" t="s">
        <v>8</v>
      </c>
      <c r="B5" s="3" t="s">
        <v>46</v>
      </c>
      <c r="C5" s="3" t="s">
        <v>47</v>
      </c>
      <c r="D5" s="3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25"/>
    <col collapsed="false" customWidth="true" hidden="false" outlineLevel="0" max="8" min="7" style="0" width="19"/>
  </cols>
  <sheetData>
    <row r="1" customFormat="false" ht="30" hidden="false" customHeight="true" outlineLevel="0" collapsed="false">
      <c r="A1" s="1" t="s">
        <v>0</v>
      </c>
      <c r="B1" s="1" t="s">
        <v>42</v>
      </c>
      <c r="C1" s="1" t="s">
        <v>49</v>
      </c>
      <c r="D1" s="1" t="s">
        <v>13</v>
      </c>
      <c r="E1" s="1" t="s">
        <v>14</v>
      </c>
      <c r="F1" s="1" t="s">
        <v>50</v>
      </c>
      <c r="G1" s="1" t="s">
        <v>51</v>
      </c>
      <c r="H1" s="1" t="s">
        <v>17</v>
      </c>
    </row>
    <row r="2" customFormat="false" ht="15" hidden="false" customHeight="false" outlineLevel="0" collapsed="false">
      <c r="A2" s="2" t="s">
        <v>4</v>
      </c>
      <c r="B2" s="2" t="s">
        <v>43</v>
      </c>
      <c r="C2" s="2" t="s">
        <v>52</v>
      </c>
      <c r="D2" s="2" t="s">
        <v>53</v>
      </c>
      <c r="E2" s="2" t="s">
        <v>54</v>
      </c>
      <c r="F2" s="2" t="s">
        <v>55</v>
      </c>
      <c r="G2" s="2" t="s">
        <v>56</v>
      </c>
      <c r="H2" s="2" t="s">
        <v>57</v>
      </c>
    </row>
    <row r="3" customFormat="false" ht="15" hidden="false" customHeight="false" outlineLevel="0" collapsed="false">
      <c r="A3" s="3" t="s">
        <v>4</v>
      </c>
      <c r="B3" s="6" t="s">
        <v>43</v>
      </c>
      <c r="C3" s="3" t="s">
        <v>58</v>
      </c>
      <c r="D3" s="3" t="s">
        <v>59</v>
      </c>
      <c r="E3" s="3" t="s">
        <v>60</v>
      </c>
      <c r="F3" s="3" t="s">
        <v>61</v>
      </c>
      <c r="G3" s="3" t="s">
        <v>62</v>
      </c>
      <c r="H3" s="3" t="s">
        <v>63</v>
      </c>
    </row>
    <row r="4" customFormat="false" ht="15" hidden="false" customHeight="false" outlineLevel="0" collapsed="false">
      <c r="A4" s="2" t="s">
        <v>4</v>
      </c>
      <c r="B4" s="7" t="s">
        <v>46</v>
      </c>
      <c r="C4" s="2" t="s">
        <v>64</v>
      </c>
      <c r="D4" s="2" t="s">
        <v>65</v>
      </c>
      <c r="E4" s="2" t="s">
        <v>66</v>
      </c>
      <c r="F4" s="2" t="s">
        <v>67</v>
      </c>
      <c r="G4" s="2" t="s">
        <v>68</v>
      </c>
      <c r="H4" s="2" t="s">
        <v>69</v>
      </c>
    </row>
    <row r="5" customFormat="false" ht="15" hidden="false" customHeight="false" outlineLevel="0" collapsed="false">
      <c r="A5" s="3" t="s">
        <v>4</v>
      </c>
      <c r="B5" s="6" t="s">
        <v>46</v>
      </c>
      <c r="C5" s="3" t="s">
        <v>70</v>
      </c>
      <c r="D5" s="3" t="s">
        <v>71</v>
      </c>
      <c r="E5" s="3" t="s">
        <v>72</v>
      </c>
      <c r="F5" s="3" t="s">
        <v>73</v>
      </c>
      <c r="G5" s="3" t="s">
        <v>74</v>
      </c>
      <c r="H5" s="3" t="s">
        <v>75</v>
      </c>
    </row>
    <row r="6" customFormat="false" ht="15" hidden="false" customHeight="false" outlineLevel="0" collapsed="false">
      <c r="A6" s="2" t="s">
        <v>8</v>
      </c>
      <c r="B6" s="2" t="s">
        <v>43</v>
      </c>
      <c r="C6" s="2" t="s">
        <v>52</v>
      </c>
      <c r="D6" s="2" t="s">
        <v>76</v>
      </c>
      <c r="E6" s="2" t="s">
        <v>77</v>
      </c>
      <c r="F6" s="2" t="s">
        <v>78</v>
      </c>
      <c r="G6" s="2" t="s">
        <v>79</v>
      </c>
      <c r="H6" s="2" t="s">
        <v>80</v>
      </c>
    </row>
    <row r="7" customFormat="false" ht="15" hidden="false" customHeight="false" outlineLevel="0" collapsed="false">
      <c r="A7" s="3" t="s">
        <v>8</v>
      </c>
      <c r="B7" s="6" t="s">
        <v>43</v>
      </c>
      <c r="C7" s="3" t="s">
        <v>58</v>
      </c>
      <c r="D7" s="3" t="s">
        <v>81</v>
      </c>
      <c r="E7" s="3" t="s">
        <v>82</v>
      </c>
      <c r="F7" s="3" t="s">
        <v>83</v>
      </c>
      <c r="G7" s="3" t="s">
        <v>84</v>
      </c>
      <c r="H7" s="3" t="s">
        <v>85</v>
      </c>
    </row>
    <row r="8" customFormat="false" ht="15" hidden="false" customHeight="false" outlineLevel="0" collapsed="false">
      <c r="A8" s="2" t="s">
        <v>8</v>
      </c>
      <c r="B8" s="7" t="s">
        <v>46</v>
      </c>
      <c r="C8" s="2" t="s">
        <v>64</v>
      </c>
      <c r="D8" s="2" t="s">
        <v>86</v>
      </c>
      <c r="E8" s="2" t="s">
        <v>87</v>
      </c>
      <c r="F8" s="2" t="s">
        <v>88</v>
      </c>
      <c r="G8" s="2" t="s">
        <v>89</v>
      </c>
      <c r="H8" s="2" t="s">
        <v>90</v>
      </c>
    </row>
    <row r="9" customFormat="false" ht="15" hidden="false" customHeight="false" outlineLevel="0" collapsed="false">
      <c r="A9" s="3" t="s">
        <v>8</v>
      </c>
      <c r="B9" s="6" t="s">
        <v>46</v>
      </c>
      <c r="C9" s="3" t="s">
        <v>70</v>
      </c>
      <c r="D9" s="3" t="s">
        <v>91</v>
      </c>
      <c r="E9" s="3" t="s">
        <v>92</v>
      </c>
      <c r="F9" s="3" t="s">
        <v>93</v>
      </c>
      <c r="G9" s="3" t="s">
        <v>94</v>
      </c>
      <c r="H9" s="3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5" min="3" style="0" width="14"/>
    <col collapsed="false" customWidth="true" hidden="false" outlineLevel="0" max="6" min="6" style="0" width="15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40"/>
    <col collapsed="false" customWidth="true" hidden="false" outlineLevel="0" max="10" min="10" style="0" width="19"/>
    <col collapsed="false" customWidth="true" hidden="false" outlineLevel="0" max="11" min="11" style="0" width="11"/>
  </cols>
  <sheetData>
    <row r="1" customFormat="false" ht="30" hidden="false" customHeight="true" outlineLevel="0" collapsed="false">
      <c r="A1" s="1" t="s">
        <v>0</v>
      </c>
      <c r="B1" s="1" t="s">
        <v>42</v>
      </c>
      <c r="C1" s="1" t="s">
        <v>49</v>
      </c>
      <c r="D1" s="1" t="s">
        <v>96</v>
      </c>
      <c r="E1" s="1" t="s">
        <v>97</v>
      </c>
      <c r="F1" s="1" t="s">
        <v>98</v>
      </c>
      <c r="G1" s="1" t="s">
        <v>13</v>
      </c>
      <c r="H1" s="1" t="s">
        <v>99</v>
      </c>
      <c r="I1" s="1" t="s">
        <v>100</v>
      </c>
      <c r="J1" s="1" t="s">
        <v>51</v>
      </c>
      <c r="K1" s="1" t="s">
        <v>101</v>
      </c>
    </row>
    <row r="2" customFormat="false" ht="15" hidden="false" customHeight="false" outlineLevel="0" collapsed="false">
      <c r="A2" s="2" t="s">
        <v>4</v>
      </c>
      <c r="B2" s="2" t="s">
        <v>43</v>
      </c>
      <c r="C2" s="2" t="s">
        <v>52</v>
      </c>
      <c r="D2" s="2" t="s">
        <v>102</v>
      </c>
      <c r="E2" s="2" t="n">
        <v>40</v>
      </c>
      <c r="F2" s="2" t="n">
        <v>35.5</v>
      </c>
      <c r="G2" s="2" t="s">
        <v>103</v>
      </c>
      <c r="H2" s="4" t="n">
        <v>46127</v>
      </c>
      <c r="I2" s="2" t="s">
        <v>104</v>
      </c>
      <c r="J2" s="2" t="s">
        <v>56</v>
      </c>
      <c r="K2" s="2" t="s">
        <v>105</v>
      </c>
    </row>
    <row r="3" customFormat="false" ht="15" hidden="false" customHeight="false" outlineLevel="0" collapsed="false">
      <c r="A3" s="3" t="s">
        <v>4</v>
      </c>
      <c r="B3" s="6" t="s">
        <v>43</v>
      </c>
      <c r="C3" s="3" t="s">
        <v>58</v>
      </c>
      <c r="D3" s="2" t="s">
        <v>102</v>
      </c>
      <c r="E3" s="3" t="n">
        <v>40</v>
      </c>
      <c r="F3" s="3" t="n">
        <v>38</v>
      </c>
      <c r="G3" s="3" t="s">
        <v>106</v>
      </c>
      <c r="H3" s="5" t="n">
        <v>46130</v>
      </c>
      <c r="I3" s="3" t="s">
        <v>107</v>
      </c>
      <c r="J3" s="3" t="s">
        <v>62</v>
      </c>
      <c r="K3" s="3" t="s">
        <v>105</v>
      </c>
    </row>
    <row r="4" customFormat="false" ht="15" hidden="false" customHeight="false" outlineLevel="0" collapsed="false">
      <c r="A4" s="2" t="s">
        <v>4</v>
      </c>
      <c r="B4" s="7" t="s">
        <v>46</v>
      </c>
      <c r="C4" s="2" t="s">
        <v>64</v>
      </c>
      <c r="D4" s="2" t="s">
        <v>102</v>
      </c>
      <c r="E4" s="2" t="n">
        <v>40</v>
      </c>
      <c r="F4" s="2" t="n">
        <v>36</v>
      </c>
      <c r="G4" s="2" t="s">
        <v>108</v>
      </c>
      <c r="H4" s="4" t="n">
        <v>46285</v>
      </c>
      <c r="I4" s="2" t="s">
        <v>109</v>
      </c>
      <c r="J4" s="2" t="s">
        <v>68</v>
      </c>
      <c r="K4" s="2" t="s">
        <v>110</v>
      </c>
    </row>
    <row r="5" customFormat="false" ht="15" hidden="false" customHeight="false" outlineLevel="0" collapsed="false">
      <c r="A5" s="3" t="s">
        <v>4</v>
      </c>
      <c r="B5" s="6" t="s">
        <v>46</v>
      </c>
      <c r="C5" s="3" t="s">
        <v>70</v>
      </c>
      <c r="D5" s="2" t="s">
        <v>102</v>
      </c>
      <c r="E5" s="3" t="n">
        <v>40</v>
      </c>
      <c r="F5" s="3" t="n">
        <v>32</v>
      </c>
      <c r="G5" s="3" t="s">
        <v>111</v>
      </c>
      <c r="H5" s="5" t="n">
        <v>46287</v>
      </c>
      <c r="I5" s="3" t="s">
        <v>112</v>
      </c>
      <c r="J5" s="3" t="s">
        <v>74</v>
      </c>
      <c r="K5" s="3" t="s">
        <v>105</v>
      </c>
    </row>
    <row r="6" customFormat="false" ht="15" hidden="false" customHeight="false" outlineLevel="0" collapsed="false">
      <c r="A6" s="2" t="s">
        <v>8</v>
      </c>
      <c r="B6" s="2" t="s">
        <v>43</v>
      </c>
      <c r="C6" s="2" t="s">
        <v>52</v>
      </c>
      <c r="D6" s="2" t="s">
        <v>102</v>
      </c>
      <c r="E6" s="2" t="n">
        <v>50</v>
      </c>
      <c r="F6" s="2" t="n">
        <v>45</v>
      </c>
      <c r="G6" s="2" t="s">
        <v>113</v>
      </c>
      <c r="H6" s="4" t="n">
        <v>46124</v>
      </c>
      <c r="I6" s="2" t="s">
        <v>114</v>
      </c>
      <c r="J6" s="2" t="s">
        <v>79</v>
      </c>
      <c r="K6" s="2" t="s">
        <v>115</v>
      </c>
    </row>
    <row r="7" customFormat="false" ht="15" hidden="false" customHeight="false" outlineLevel="0" collapsed="false">
      <c r="A7" s="3" t="s">
        <v>8</v>
      </c>
      <c r="B7" s="6" t="s">
        <v>43</v>
      </c>
      <c r="C7" s="3" t="s">
        <v>58</v>
      </c>
      <c r="D7" s="2" t="s">
        <v>102</v>
      </c>
      <c r="E7" s="3" t="n">
        <v>50</v>
      </c>
      <c r="F7" s="3" t="n">
        <v>42.5</v>
      </c>
      <c r="G7" s="3" t="s">
        <v>116</v>
      </c>
      <c r="H7" s="5" t="n">
        <v>46132</v>
      </c>
      <c r="I7" s="3" t="s">
        <v>117</v>
      </c>
      <c r="J7" s="3" t="s">
        <v>84</v>
      </c>
      <c r="K7" s="3" t="s">
        <v>105</v>
      </c>
    </row>
    <row r="8" customFormat="false" ht="15" hidden="false" customHeight="false" outlineLevel="0" collapsed="false">
      <c r="A8" s="2" t="s">
        <v>8</v>
      </c>
      <c r="B8" s="7" t="s">
        <v>46</v>
      </c>
      <c r="C8" s="2" t="s">
        <v>64</v>
      </c>
      <c r="D8" s="2" t="s">
        <v>102</v>
      </c>
      <c r="E8" s="2" t="n">
        <v>50</v>
      </c>
      <c r="F8" s="2" t="n">
        <v>47</v>
      </c>
      <c r="G8" s="2" t="s">
        <v>118</v>
      </c>
      <c r="H8" s="4" t="n">
        <v>46283</v>
      </c>
      <c r="I8" s="2" t="s">
        <v>119</v>
      </c>
      <c r="J8" s="2" t="s">
        <v>89</v>
      </c>
      <c r="K8" s="2" t="s">
        <v>110</v>
      </c>
    </row>
    <row r="9" customFormat="false" ht="15" hidden="false" customHeight="false" outlineLevel="0" collapsed="false">
      <c r="A9" s="3" t="s">
        <v>8</v>
      </c>
      <c r="B9" s="6" t="s">
        <v>46</v>
      </c>
      <c r="C9" s="3" t="s">
        <v>70</v>
      </c>
      <c r="D9" s="2" t="s">
        <v>102</v>
      </c>
      <c r="E9" s="3" t="n">
        <v>50</v>
      </c>
      <c r="F9" s="3" t="n">
        <v>44</v>
      </c>
      <c r="G9" s="3" t="s">
        <v>120</v>
      </c>
      <c r="H9" s="5" t="n">
        <v>46290</v>
      </c>
      <c r="I9" s="3" t="s">
        <v>121</v>
      </c>
      <c r="J9" s="3" t="s">
        <v>94</v>
      </c>
      <c r="K9" s="3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5" min="3" style="0" width="14"/>
    <col collapsed="false" customWidth="true" hidden="false" outlineLevel="0" max="6" min="6" style="0" width="15"/>
    <col collapsed="false" customWidth="true" hidden="false" outlineLevel="0" max="7" min="7" style="0" width="31"/>
    <col collapsed="false" customWidth="true" hidden="false" outlineLevel="0" max="8" min="8" style="0" width="16"/>
    <col collapsed="false" customWidth="true" hidden="false" outlineLevel="0" max="9" min="9" style="0" width="40"/>
    <col collapsed="false" customWidth="true" hidden="false" outlineLevel="0" max="10" min="10" style="0" width="33"/>
    <col collapsed="false" customWidth="true" hidden="false" outlineLevel="0" max="11" min="11" style="0" width="12"/>
  </cols>
  <sheetData>
    <row r="1" customFormat="false" ht="30" hidden="false" customHeight="true" outlineLevel="0" collapsed="false">
      <c r="A1" s="1" t="s">
        <v>0</v>
      </c>
      <c r="B1" s="1" t="s">
        <v>42</v>
      </c>
      <c r="C1" s="1" t="s">
        <v>49</v>
      </c>
      <c r="D1" s="1" t="s">
        <v>122</v>
      </c>
      <c r="E1" s="1" t="s">
        <v>97</v>
      </c>
      <c r="F1" s="1" t="s">
        <v>98</v>
      </c>
      <c r="G1" s="1" t="s">
        <v>13</v>
      </c>
      <c r="H1" s="1" t="s">
        <v>123</v>
      </c>
      <c r="I1" s="1" t="s">
        <v>124</v>
      </c>
      <c r="J1" s="1" t="s">
        <v>125</v>
      </c>
      <c r="K1" s="1" t="s">
        <v>126</v>
      </c>
    </row>
    <row r="2" customFormat="false" ht="15" hidden="false" customHeight="false" outlineLevel="0" collapsed="false">
      <c r="A2" s="2" t="s">
        <v>4</v>
      </c>
      <c r="B2" s="2" t="s">
        <v>43</v>
      </c>
      <c r="C2" s="2" t="s">
        <v>52</v>
      </c>
      <c r="D2" s="2" t="s">
        <v>127</v>
      </c>
      <c r="E2" s="2" t="n">
        <v>30</v>
      </c>
      <c r="F2" s="2" t="n">
        <v>27</v>
      </c>
      <c r="G2" s="2" t="s">
        <v>128</v>
      </c>
      <c r="H2" s="4" t="n">
        <v>46152</v>
      </c>
      <c r="I2" s="2" t="s">
        <v>129</v>
      </c>
      <c r="J2" s="2" t="s">
        <v>130</v>
      </c>
      <c r="K2" s="8" t="b">
        <f aca="false">TRUE()</f>
        <v>1</v>
      </c>
    </row>
    <row r="3" customFormat="false" ht="15" hidden="false" customHeight="false" outlineLevel="0" collapsed="false">
      <c r="A3" s="3" t="s">
        <v>4</v>
      </c>
      <c r="B3" s="6" t="s">
        <v>43</v>
      </c>
      <c r="C3" s="3" t="s">
        <v>58</v>
      </c>
      <c r="D3" s="2" t="s">
        <v>127</v>
      </c>
      <c r="E3" s="3" t="n">
        <v>30</v>
      </c>
      <c r="F3" s="3" t="n">
        <v>29</v>
      </c>
      <c r="G3" s="3" t="s">
        <v>131</v>
      </c>
      <c r="H3" s="5" t="n">
        <v>46162</v>
      </c>
      <c r="I3" s="3" t="s">
        <v>132</v>
      </c>
      <c r="J3" s="3" t="s">
        <v>133</v>
      </c>
      <c r="K3" s="9" t="b">
        <f aca="false">TRUE()</f>
        <v>1</v>
      </c>
    </row>
    <row r="4" customFormat="false" ht="15" hidden="false" customHeight="false" outlineLevel="0" collapsed="false">
      <c r="A4" s="2" t="s">
        <v>4</v>
      </c>
      <c r="B4" s="7" t="s">
        <v>46</v>
      </c>
      <c r="C4" s="2" t="s">
        <v>64</v>
      </c>
      <c r="D4" s="2" t="s">
        <v>127</v>
      </c>
      <c r="E4" s="2" t="n">
        <v>30</v>
      </c>
      <c r="F4" s="2"/>
      <c r="G4" s="2" t="s">
        <v>134</v>
      </c>
      <c r="H4" s="4" t="n">
        <v>46310</v>
      </c>
      <c r="I4" s="2" t="s">
        <v>135</v>
      </c>
      <c r="J4" s="2" t="s">
        <v>136</v>
      </c>
      <c r="K4" s="8" t="b">
        <f aca="false">FALSE()</f>
        <v>0</v>
      </c>
    </row>
    <row r="5" customFormat="false" ht="15" hidden="false" customHeight="false" outlineLevel="0" collapsed="false">
      <c r="A5" s="3" t="s">
        <v>4</v>
      </c>
      <c r="B5" s="6" t="s">
        <v>46</v>
      </c>
      <c r="C5" s="3" t="s">
        <v>70</v>
      </c>
      <c r="D5" s="2" t="s">
        <v>127</v>
      </c>
      <c r="E5" s="3" t="n">
        <v>30</v>
      </c>
      <c r="F5" s="3"/>
      <c r="G5" s="3" t="s">
        <v>137</v>
      </c>
      <c r="H5" s="5" t="n">
        <v>46320</v>
      </c>
      <c r="I5" s="3" t="s">
        <v>138</v>
      </c>
      <c r="J5" s="3" t="s">
        <v>139</v>
      </c>
      <c r="K5" s="9" t="b">
        <f aca="false">FALSE()</f>
        <v>0</v>
      </c>
    </row>
    <row r="6" customFormat="false" ht="15" hidden="false" customHeight="false" outlineLevel="0" collapsed="false">
      <c r="A6" s="2" t="s">
        <v>8</v>
      </c>
      <c r="B6" s="2" t="s">
        <v>43</v>
      </c>
      <c r="C6" s="2" t="s">
        <v>52</v>
      </c>
      <c r="D6" s="2" t="s">
        <v>127</v>
      </c>
      <c r="E6" s="2" t="n">
        <v>30</v>
      </c>
      <c r="F6" s="2" t="n">
        <v>28.5</v>
      </c>
      <c r="G6" s="2" t="s">
        <v>140</v>
      </c>
      <c r="H6" s="4" t="n">
        <v>46147</v>
      </c>
      <c r="I6" s="2" t="s">
        <v>141</v>
      </c>
      <c r="J6" s="2" t="s">
        <v>142</v>
      </c>
      <c r="K6" s="8" t="b">
        <f aca="false">TRUE()</f>
        <v>1</v>
      </c>
    </row>
    <row r="7" customFormat="false" ht="15" hidden="false" customHeight="false" outlineLevel="0" collapsed="false">
      <c r="A7" s="3" t="s">
        <v>8</v>
      </c>
      <c r="B7" s="6" t="s">
        <v>43</v>
      </c>
      <c r="C7" s="3" t="s">
        <v>58</v>
      </c>
      <c r="D7" s="2" t="s">
        <v>127</v>
      </c>
      <c r="E7" s="3" t="n">
        <v>30</v>
      </c>
      <c r="F7" s="3" t="n">
        <v>25</v>
      </c>
      <c r="G7" s="3" t="s">
        <v>143</v>
      </c>
      <c r="H7" s="5" t="n">
        <v>46160</v>
      </c>
      <c r="I7" s="3" t="s">
        <v>144</v>
      </c>
      <c r="J7" s="3" t="s">
        <v>139</v>
      </c>
      <c r="K7" s="9" t="b">
        <f aca="false">TRUE()</f>
        <v>1</v>
      </c>
    </row>
    <row r="8" customFormat="false" ht="15" hidden="false" customHeight="false" outlineLevel="0" collapsed="false">
      <c r="A8" s="2" t="s">
        <v>8</v>
      </c>
      <c r="B8" s="7" t="s">
        <v>46</v>
      </c>
      <c r="C8" s="2" t="s">
        <v>64</v>
      </c>
      <c r="D8" s="2" t="s">
        <v>127</v>
      </c>
      <c r="E8" s="2" t="n">
        <v>30</v>
      </c>
      <c r="F8" s="2"/>
      <c r="G8" s="2" t="s">
        <v>145</v>
      </c>
      <c r="H8" s="4" t="n">
        <v>46315</v>
      </c>
      <c r="I8" s="2" t="s">
        <v>146</v>
      </c>
      <c r="J8" s="2" t="s">
        <v>147</v>
      </c>
      <c r="K8" s="8" t="b">
        <f aca="false">FALSE()</f>
        <v>0</v>
      </c>
    </row>
    <row r="9" customFormat="false" ht="15" hidden="false" customHeight="false" outlineLevel="0" collapsed="false">
      <c r="A9" s="3" t="s">
        <v>8</v>
      </c>
      <c r="B9" s="6" t="s">
        <v>46</v>
      </c>
      <c r="C9" s="3" t="s">
        <v>70</v>
      </c>
      <c r="D9" s="2" t="s">
        <v>127</v>
      </c>
      <c r="E9" s="3" t="n">
        <v>30</v>
      </c>
      <c r="F9" s="3"/>
      <c r="G9" s="3" t="s">
        <v>148</v>
      </c>
      <c r="H9" s="5" t="n">
        <v>46331</v>
      </c>
      <c r="I9" s="3" t="s">
        <v>149</v>
      </c>
      <c r="J9" s="3" t="s">
        <v>150</v>
      </c>
      <c r="K9" s="9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2026-05-14T01:39:32Z</dcterms:created>
  <dc:creator>openpyxl</dc:creator>
  <dc:description/>
  <dc:language>pt-BR</dc:language>
  <cp:lastModifiedBy/>
  <dcterms:modified xsi:type="dcterms:W3CDTF">2026-05-27T14:12:42Z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